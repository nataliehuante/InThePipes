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natal\Downloads\"/>
    </mc:Choice>
  </mc:AlternateContent>
  <xr:revisionPtr revIDLastSave="0" documentId="13_ncr:1_{3A3C429D-B1D9-4611-9EEC-74159644664A}" xr6:coauthVersionLast="47" xr6:coauthVersionMax="47" xr10:uidLastSave="{00000000-0000-0000-0000-000000000000}"/>
  <bookViews>
    <workbookView xWindow="6160" yWindow="70" windowWidth="19440" windowHeight="15110" xr2:uid="{00000000-000D-0000-FFFF-FFFF00000000}"/>
  </bookViews>
  <sheets>
    <sheet name="Budget Work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C6" i="1" l="1"/>
  <c r="C8" i="1" l="1"/>
  <c r="C23" i="1" s="1"/>
</calcChain>
</file>

<file path=xl/sharedStrings.xml><?xml version="1.0" encoding="utf-8"?>
<sst xmlns="http://schemas.openxmlformats.org/spreadsheetml/2006/main" count="27" uniqueCount="26">
  <si>
    <t>Totals</t>
  </si>
  <si>
    <t>Comments</t>
  </si>
  <si>
    <t>Personnel Costs:</t>
  </si>
  <si>
    <t>Salary Cost: (undergraduate or graduate students)</t>
  </si>
  <si>
    <t>Personnel Subtotal:</t>
  </si>
  <si>
    <t xml:space="preserve">Fringe benefit rate for student: 5%   </t>
  </si>
  <si>
    <t>Fringe Subtotal:</t>
  </si>
  <si>
    <t xml:space="preserve">Other Direct Costs:  </t>
  </si>
  <si>
    <t>Equipment costs (over $1K in costs and &gt;1 year of life )</t>
  </si>
  <si>
    <t>Materials supplies</t>
  </si>
  <si>
    <t>List items here:</t>
  </si>
  <si>
    <t>Travel (domestic travel)</t>
  </si>
  <si>
    <t xml:space="preserve">Additional direct costs:  </t>
  </si>
  <si>
    <t>Other Direct Costs Subtotal:</t>
  </si>
  <si>
    <t xml:space="preserve">REQUEST TOTAL: </t>
  </si>
  <si>
    <t xml:space="preserve">Allowable expenses include, but are not limited to: support for travel (related to project objectives) and supplies, salary for undergraduate or graduate research principle investigators, equipment, makerspace materials, and service fees. </t>
  </si>
  <si>
    <t>Non-allowable expenses include: food, beverages, memberships, international conference travel.</t>
  </si>
  <si>
    <t xml:space="preserve">If you have questions about your budget contact </t>
  </si>
  <si>
    <t xml:space="preserve">engineering@chapman.edu </t>
  </si>
  <si>
    <t>Requestor Name:  Natalie Huante</t>
  </si>
  <si>
    <t>Additional Student Name(s): Mo Hijazi, Max Starreveld, Brian Byrd</t>
  </si>
  <si>
    <t>Project Title:  In the Pipes, Game Dev Project</t>
  </si>
  <si>
    <t>Project Start/Anticipated End Dates: 02/12/24 - 05/16/24</t>
  </si>
  <si>
    <t xml:space="preserve">Name:   N/A                     Role:    </t>
  </si>
  <si>
    <t xml:space="preserve">List items here: 
- Unity Dev Ops Version Control Seats ($7 per extra seat per month x 4 months)
- Online Assets (Tilemaps, Art, Music, SFX, etc.) extra details in the notes section below
- </t>
  </si>
  <si>
    <t xml:space="preserve">Notes:
Proof of Funding Estimate:
	I have provided a list of assets and version control estimates our team has constructed to give a better picture of what our funding would go towards. 
Art: 
Descriptions &amp; Prices of Assets
$14.99    2D Platformer Tilesets
$12.00    2D Backgrounds Collections 
$7.50      Game User Interface Pixel Art
$7.99      Game UI Pack - Wood Theme
$4.90      Jungle Enemies Pixel Art (Snake Enemy)
$3.00      Dust Cloud Pixel Art Particles 
Links To Assets 
https://assetstore.unity.com/packages/2d/environments/2d-platformer-tileset-173155
https://assetstore.unity.com/packages/2d/environments/2d-backgrounds-collection-186900
https://craftpix.net/product/game-user-interface-pixel-art/
https://assetstore.unity.com/packages/2d/gui/icons/game-ui-pack-wood-theme-206188
https://free-game-assets.itch.io/forest-enemies-pixel-art-sprite-sheet-pack
Sounds &amp; Music
        We have yet to decide which assets we prefer for sounds and music. However, we have listed below the number of assets we would ultimately need. Given our timeline, providing a consistent and immersive game experience is crucial to the overall quality of our project. Therefore, funding will allow us to find the building blocks that we can modify to provide that polished, final feel. We are estimating for this to cost us around $30.
SFX:
Walking, Jumping, Swinging, Shooting Web, Air Swooch, Landing, Bite Sounds For Enemy Attack, Enemy Damage, Enemy Death, Spider Damage, Spider Death, Rushing Water, Dripping Water, Other Environment SFX, Page Flipping, Opening A Book, Closing A Book, Whisper Sounds For Narration, Dialogue Sounds For Narration
Music:
Lobby Music, Level 1 Music, Level 2 Music
Version Control
	Unity Dev Ops Version Control Seats ($7 per extra seat per month)
	1 extra seat x 4 months = $28
	https://unity.com/products/unity-devops#pricing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</si>
</sst>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b/>
      <u/>
      <sz val="11"/>
      <color rgb="FF00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bgColor indexed="64"/>
      </patternFill>
    </fill>
    <fill>
      <patternFill patternType="solid">
        <fgColor rgb="FF74D6A7"/>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right/>
      <top style="thin">
        <color auto="1"/>
      </top>
      <bottom/>
      <diagonal/>
    </border>
  </borders>
  <cellStyleXfs count="3">
    <xf numFmtId="0" fontId="0" fillId="0" borderId="0"/>
    <xf numFmtId="43" fontId="1" fillId="0" borderId="0" applyFont="0" applyFill="0" applyBorder="0" applyAlignment="0" applyProtection="0"/>
    <xf numFmtId="0" fontId="4" fillId="0" borderId="0" applyNumberFormat="0" applyFill="0" applyBorder="0" applyAlignment="0" applyProtection="0"/>
  </cellStyleXfs>
  <cellXfs count="43">
    <xf numFmtId="0" fontId="0" fillId="0" borderId="0" xfId="0"/>
    <xf numFmtId="0" fontId="0" fillId="2" borderId="1" xfId="0" applyFill="1" applyBorder="1" applyAlignment="1">
      <alignment horizontal="center"/>
    </xf>
    <xf numFmtId="0" fontId="0" fillId="0" borderId="1" xfId="0" applyBorder="1" applyAlignment="1">
      <alignment wrapText="1"/>
    </xf>
    <xf numFmtId="0" fontId="0" fillId="0" borderId="1" xfId="0" applyBorder="1"/>
    <xf numFmtId="0" fontId="0" fillId="3" borderId="1" xfId="0" applyFill="1" applyBorder="1"/>
    <xf numFmtId="0" fontId="0" fillId="0" borderId="0" xfId="0" applyAlignment="1">
      <alignment wrapText="1"/>
    </xf>
    <xf numFmtId="0" fontId="2" fillId="2" borderId="2" xfId="0" applyFont="1" applyFill="1" applyBorder="1" applyAlignment="1">
      <alignment horizontal="center"/>
    </xf>
    <xf numFmtId="0" fontId="2" fillId="2" borderId="1" xfId="0" applyFont="1" applyFill="1" applyBorder="1" applyAlignment="1">
      <alignment wrapText="1"/>
    </xf>
    <xf numFmtId="0" fontId="2" fillId="2" borderId="1" xfId="0" applyFont="1" applyFill="1" applyBorder="1"/>
    <xf numFmtId="0" fontId="0" fillId="0" borderId="4" xfId="0" applyBorder="1" applyAlignment="1">
      <alignment wrapText="1"/>
    </xf>
    <xf numFmtId="0" fontId="0" fillId="0" borderId="4" xfId="0" applyBorder="1"/>
    <xf numFmtId="0" fontId="0" fillId="0" borderId="3" xfId="0" applyBorder="1"/>
    <xf numFmtId="44" fontId="0" fillId="0" borderId="2" xfId="1" applyNumberFormat="1" applyFont="1" applyBorder="1"/>
    <xf numFmtId="44" fontId="0" fillId="0" borderId="5" xfId="1" applyNumberFormat="1" applyFont="1" applyBorder="1"/>
    <xf numFmtId="44" fontId="0" fillId="3" borderId="2" xfId="1" applyNumberFormat="1" applyFont="1" applyFill="1" applyBorder="1"/>
    <xf numFmtId="0" fontId="0" fillId="4" borderId="3" xfId="0" applyFill="1" applyBorder="1" applyAlignment="1">
      <alignment wrapText="1"/>
    </xf>
    <xf numFmtId="0" fontId="0" fillId="4" borderId="1" xfId="0" applyFill="1" applyBorder="1"/>
    <xf numFmtId="0" fontId="3" fillId="4" borderId="3" xfId="0" applyFont="1" applyFill="1" applyBorder="1" applyAlignment="1">
      <alignment horizontal="left" wrapText="1" indent="2"/>
    </xf>
    <xf numFmtId="0" fontId="3" fillId="4" borderId="1" xfId="0" applyFont="1" applyFill="1" applyBorder="1" applyAlignment="1">
      <alignment horizontal="left" wrapText="1" indent="2"/>
    </xf>
    <xf numFmtId="0" fontId="2" fillId="3" borderId="1" xfId="0" applyFont="1" applyFill="1" applyBorder="1"/>
    <xf numFmtId="0" fontId="2" fillId="3" borderId="1" xfId="0" applyFont="1" applyFill="1" applyBorder="1" applyAlignment="1">
      <alignment wrapText="1"/>
    </xf>
    <xf numFmtId="0" fontId="2" fillId="3" borderId="2" xfId="0" applyFont="1" applyFill="1" applyBorder="1" applyAlignment="1">
      <alignment horizontal="center"/>
    </xf>
    <xf numFmtId="0" fontId="0" fillId="5" borderId="1" xfId="0" applyFill="1" applyBorder="1"/>
    <xf numFmtId="0" fontId="3" fillId="5" borderId="1" xfId="0" applyFont="1" applyFill="1" applyBorder="1" applyAlignment="1">
      <alignment horizontal="left" wrapText="1" indent="2"/>
    </xf>
    <xf numFmtId="44" fontId="0" fillId="5" borderId="2" xfId="1" applyNumberFormat="1" applyFont="1" applyFill="1" applyBorder="1"/>
    <xf numFmtId="0" fontId="2" fillId="6" borderId="1" xfId="0" applyFont="1" applyFill="1" applyBorder="1" applyAlignment="1">
      <alignment wrapText="1"/>
    </xf>
    <xf numFmtId="0" fontId="2" fillId="6" borderId="1" xfId="0" applyFont="1" applyFill="1" applyBorder="1"/>
    <xf numFmtId="44" fontId="2" fillId="6" borderId="2" xfId="1" applyNumberFormat="1" applyFont="1" applyFill="1" applyBorder="1"/>
    <xf numFmtId="44" fontId="3" fillId="4" borderId="6" xfId="1" applyNumberFormat="1" applyFont="1" applyFill="1" applyBorder="1"/>
    <xf numFmtId="44" fontId="3" fillId="4" borderId="2" xfId="1" applyNumberFormat="1" applyFont="1" applyFill="1" applyBorder="1"/>
    <xf numFmtId="0" fontId="2" fillId="0" borderId="0" xfId="0" applyFont="1" applyAlignment="1">
      <alignment horizontal="right" wrapText="1"/>
    </xf>
    <xf numFmtId="44" fontId="0" fillId="0" borderId="2" xfId="1" applyNumberFormat="1" applyFont="1" applyBorder="1" applyAlignment="1">
      <alignment horizontal="left" vertical="top"/>
    </xf>
    <xf numFmtId="0" fontId="5" fillId="0" borderId="0" xfId="2" applyFont="1"/>
    <xf numFmtId="0" fontId="0" fillId="3" borderId="1" xfId="0" applyFill="1" applyBorder="1" applyAlignment="1">
      <alignment horizontal="center"/>
    </xf>
    <xf numFmtId="0" fontId="0" fillId="0" borderId="7" xfId="0" applyBorder="1" applyAlignment="1">
      <alignment wrapText="1"/>
    </xf>
    <xf numFmtId="44" fontId="0" fillId="0" borderId="9" xfId="1" applyNumberFormat="1" applyFont="1" applyBorder="1"/>
    <xf numFmtId="0" fontId="0" fillId="0" borderId="7" xfId="0" applyBorder="1"/>
    <xf numFmtId="0" fontId="0" fillId="0" borderId="0" xfId="0" applyAlignment="1">
      <alignment horizontal="left" vertical="center" wrapText="1"/>
    </xf>
    <xf numFmtId="0" fontId="0" fillId="0" borderId="7" xfId="0" applyBorder="1" applyAlignment="1">
      <alignment horizontal="left" vertical="top" wrapText="1"/>
    </xf>
    <xf numFmtId="0" fontId="0" fillId="0" borderId="8" xfId="0" applyBorder="1" applyAlignment="1">
      <alignment horizontal="left" vertical="top"/>
    </xf>
    <xf numFmtId="0" fontId="0" fillId="0" borderId="4" xfId="0" applyBorder="1" applyAlignment="1">
      <alignment horizontal="left" vertical="top"/>
    </xf>
    <xf numFmtId="0" fontId="0" fillId="0" borderId="7" xfId="0" applyBorder="1" applyAlignment="1">
      <alignment horizontal="left" vertical="top"/>
    </xf>
    <xf numFmtId="0" fontId="0" fillId="0" borderId="10" xfId="0" applyBorder="1" applyAlignment="1">
      <alignment horizontal="left" vertical="top"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74D6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gineering@chapma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topLeftCell="A24" zoomScaleNormal="100" workbookViewId="0">
      <selection activeCell="A24" sqref="A24:C24"/>
    </sheetView>
  </sheetViews>
  <sheetFormatPr defaultColWidth="8.81640625" defaultRowHeight="14.5" x14ac:dyDescent="0.35"/>
  <cols>
    <col min="1" max="1" width="57" style="5" customWidth="1"/>
    <col min="2" max="2" width="50.81640625" customWidth="1"/>
    <col min="3" max="3" width="16" customWidth="1"/>
    <col min="4" max="4" width="42" customWidth="1"/>
  </cols>
  <sheetData>
    <row r="1" spans="1:4" ht="69" customHeight="1" x14ac:dyDescent="0.35">
      <c r="A1" s="8" t="s">
        <v>19</v>
      </c>
      <c r="B1" s="7" t="s">
        <v>21</v>
      </c>
      <c r="C1" s="6" t="s">
        <v>0</v>
      </c>
      <c r="D1" s="1" t="s">
        <v>1</v>
      </c>
    </row>
    <row r="2" spans="1:4" ht="35.25" customHeight="1" x14ac:dyDescent="0.35">
      <c r="A2" s="8" t="s">
        <v>20</v>
      </c>
      <c r="B2" s="7" t="s">
        <v>22</v>
      </c>
      <c r="C2" s="6"/>
      <c r="D2" s="1"/>
    </row>
    <row r="3" spans="1:4" x14ac:dyDescent="0.35">
      <c r="A3" s="19" t="s">
        <v>2</v>
      </c>
      <c r="B3" s="20"/>
      <c r="C3" s="21"/>
      <c r="D3" s="33"/>
    </row>
    <row r="4" spans="1:4" ht="17.25" customHeight="1" x14ac:dyDescent="0.35">
      <c r="A4" s="2" t="s">
        <v>3</v>
      </c>
      <c r="B4" s="2" t="s">
        <v>23</v>
      </c>
      <c r="C4" s="12">
        <v>0</v>
      </c>
      <c r="D4" s="3"/>
    </row>
    <row r="5" spans="1:4" ht="17.25" customHeight="1" x14ac:dyDescent="0.35">
      <c r="A5" s="34"/>
      <c r="B5" s="2" t="s">
        <v>23</v>
      </c>
      <c r="C5" s="35">
        <v>0</v>
      </c>
      <c r="D5" s="36"/>
    </row>
    <row r="6" spans="1:4" x14ac:dyDescent="0.35">
      <c r="A6" s="17" t="s">
        <v>4</v>
      </c>
      <c r="B6" s="15"/>
      <c r="C6" s="28">
        <f>SUM(C4:C4)</f>
        <v>0</v>
      </c>
      <c r="D6" s="11"/>
    </row>
    <row r="7" spans="1:4" x14ac:dyDescent="0.35">
      <c r="A7" s="9" t="s">
        <v>5</v>
      </c>
      <c r="B7" s="10">
        <v>0.05</v>
      </c>
      <c r="C7" s="13">
        <v>0</v>
      </c>
      <c r="D7" s="10"/>
    </row>
    <row r="8" spans="1:4" x14ac:dyDescent="0.35">
      <c r="A8" s="18" t="s">
        <v>6</v>
      </c>
      <c r="B8" s="16"/>
      <c r="C8" s="29">
        <f>SUM(C7:C7)</f>
        <v>0</v>
      </c>
      <c r="D8" s="3"/>
    </row>
    <row r="9" spans="1:4" x14ac:dyDescent="0.35">
      <c r="A9" s="20" t="s">
        <v>7</v>
      </c>
      <c r="B9" s="4"/>
      <c r="C9" s="14"/>
      <c r="D9" s="4"/>
    </row>
    <row r="10" spans="1:4" x14ac:dyDescent="0.35">
      <c r="A10" s="2" t="s">
        <v>8</v>
      </c>
      <c r="B10" s="3"/>
      <c r="C10" s="12">
        <v>0</v>
      </c>
      <c r="D10" s="3"/>
    </row>
    <row r="11" spans="1:4" x14ac:dyDescent="0.35">
      <c r="A11" s="2" t="s">
        <v>9</v>
      </c>
      <c r="B11" s="38" t="s">
        <v>24</v>
      </c>
      <c r="C11" s="31"/>
      <c r="D11" s="3"/>
    </row>
    <row r="12" spans="1:4" x14ac:dyDescent="0.35">
      <c r="A12" s="2"/>
      <c r="B12" s="39"/>
      <c r="C12" s="12">
        <v>28</v>
      </c>
      <c r="D12" s="3"/>
    </row>
    <row r="13" spans="1:4" x14ac:dyDescent="0.35">
      <c r="A13" s="2"/>
      <c r="B13" s="39"/>
      <c r="C13" s="12"/>
      <c r="D13" s="3"/>
    </row>
    <row r="14" spans="1:4" x14ac:dyDescent="0.35">
      <c r="A14" s="2"/>
      <c r="B14" s="39"/>
      <c r="C14" s="12">
        <v>80</v>
      </c>
      <c r="D14" s="3"/>
    </row>
    <row r="15" spans="1:4" x14ac:dyDescent="0.35">
      <c r="A15" s="2"/>
      <c r="B15" s="40"/>
      <c r="C15" s="12"/>
      <c r="D15" s="3"/>
    </row>
    <row r="16" spans="1:4" x14ac:dyDescent="0.35">
      <c r="A16" s="2" t="s">
        <v>11</v>
      </c>
      <c r="B16" s="3"/>
      <c r="C16" s="12">
        <v>0</v>
      </c>
      <c r="D16" s="3"/>
    </row>
    <row r="17" spans="1:4" x14ac:dyDescent="0.35">
      <c r="A17" s="2" t="s">
        <v>12</v>
      </c>
      <c r="B17" s="41" t="s">
        <v>10</v>
      </c>
      <c r="C17" s="12">
        <v>0</v>
      </c>
      <c r="D17" s="3"/>
    </row>
    <row r="18" spans="1:4" x14ac:dyDescent="0.35">
      <c r="A18" s="2"/>
      <c r="B18" s="39"/>
      <c r="C18" s="12">
        <v>0</v>
      </c>
      <c r="D18" s="3"/>
    </row>
    <row r="19" spans="1:4" x14ac:dyDescent="0.35">
      <c r="A19" s="2"/>
      <c r="B19" s="39"/>
      <c r="C19" s="12">
        <v>0</v>
      </c>
      <c r="D19" s="3"/>
    </row>
    <row r="20" spans="1:4" x14ac:dyDescent="0.35">
      <c r="A20" s="2"/>
      <c r="B20" s="39"/>
      <c r="C20" s="12">
        <v>0</v>
      </c>
      <c r="D20" s="3"/>
    </row>
    <row r="21" spans="1:4" x14ac:dyDescent="0.35">
      <c r="A21" s="2"/>
      <c r="B21" s="40"/>
      <c r="C21" s="12">
        <v>0</v>
      </c>
      <c r="D21" s="3"/>
    </row>
    <row r="22" spans="1:4" x14ac:dyDescent="0.35">
      <c r="A22" s="23" t="s">
        <v>13</v>
      </c>
      <c r="B22" s="22"/>
      <c r="C22" s="24">
        <f>SUM(C10:C21)</f>
        <v>108</v>
      </c>
      <c r="D22" s="22"/>
    </row>
    <row r="23" spans="1:4" ht="22.5" customHeight="1" x14ac:dyDescent="0.35">
      <c r="A23" s="25" t="s">
        <v>14</v>
      </c>
      <c r="B23" s="26"/>
      <c r="C23" s="27">
        <f>SUM(C6,C8,C22)</f>
        <v>108</v>
      </c>
      <c r="D23" s="3"/>
    </row>
    <row r="24" spans="1:4" ht="409.5" customHeight="1" x14ac:dyDescent="0.35">
      <c r="A24" s="42" t="s">
        <v>25</v>
      </c>
      <c r="B24" s="42"/>
      <c r="C24" s="42"/>
    </row>
    <row r="25" spans="1:4" ht="31.5" customHeight="1" x14ac:dyDescent="0.35">
      <c r="A25" s="37" t="s">
        <v>15</v>
      </c>
      <c r="B25" s="37"/>
    </row>
    <row r="26" spans="1:4" ht="36.75" customHeight="1" x14ac:dyDescent="0.35">
      <c r="A26" s="37" t="s">
        <v>16</v>
      </c>
      <c r="B26" s="37"/>
    </row>
    <row r="27" spans="1:4" x14ac:dyDescent="0.35">
      <c r="A27" s="30" t="s">
        <v>17</v>
      </c>
      <c r="B27" s="32" t="s">
        <v>18</v>
      </c>
    </row>
  </sheetData>
  <mergeCells count="5">
    <mergeCell ref="A25:B25"/>
    <mergeCell ref="A26:B26"/>
    <mergeCell ref="B11:B15"/>
    <mergeCell ref="B17:B21"/>
    <mergeCell ref="A24:C24"/>
  </mergeCells>
  <hyperlinks>
    <hyperlink ref="B27" r:id="rId1" xr:uid="{0CC19017-2649-495C-A31D-68F19E248BEE}"/>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81DD9701896E45B2C713F0A858CB8C" ma:contentTypeVersion="15" ma:contentTypeDescription="Create a new document." ma:contentTypeScope="" ma:versionID="ff516fa804e46a69567d46f619a1476f">
  <xsd:schema xmlns:xsd="http://www.w3.org/2001/XMLSchema" xmlns:xs="http://www.w3.org/2001/XMLSchema" xmlns:p="http://schemas.microsoft.com/office/2006/metadata/properties" xmlns:ns2="43bfaef3-c1f0-4419-8946-a5307fb2b36c" xmlns:ns3="f7af927c-876f-46b8-ad25-dff9e8e70c0c" targetNamespace="http://schemas.microsoft.com/office/2006/metadata/properties" ma:root="true" ma:fieldsID="fa5a76365661874e04df92a7adffd2b9" ns2:_="" ns3:_="">
    <xsd:import namespace="43bfaef3-c1f0-4419-8946-a5307fb2b36c"/>
    <xsd:import namespace="f7af927c-876f-46b8-ad25-dff9e8e70c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bfaef3-c1f0-4419-8946-a5307fb2b3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7e689ab-e6c1-495a-909d-6e26ff4bb3b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af927c-876f-46b8-ad25-dff9e8e70c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442ca4-da48-433d-8eda-93790ca19d53}" ma:internalName="TaxCatchAll" ma:showField="CatchAllData" ma:web="f7af927c-876f-46b8-ad25-dff9e8e70c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F120B8-4F05-4CD9-B247-3439DAFFE1DB}">
  <ds:schemaRefs>
    <ds:schemaRef ds:uri="http://schemas.microsoft.com/sharepoint/v3/contenttype/forms"/>
  </ds:schemaRefs>
</ds:datastoreItem>
</file>

<file path=customXml/itemProps2.xml><?xml version="1.0" encoding="utf-8"?>
<ds:datastoreItem xmlns:ds="http://schemas.openxmlformats.org/officeDocument/2006/customXml" ds:itemID="{73E6D105-ED5D-4C68-A03F-74C63023BC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bfaef3-c1f0-4419-8946-a5307fb2b36c"/>
    <ds:schemaRef ds:uri="f7af927c-876f-46b8-ad25-dff9e8e70c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Budget Worksheet</vt:lpstr>
    </vt:vector>
  </TitlesOfParts>
  <Manager/>
  <Company>Chapman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McCarty, Mary</dc:creator>
  <cp:keywords/>
  <dc:description/>
  <cp:lastModifiedBy>Natalie Huante</cp:lastModifiedBy>
  <cp:revision/>
  <dcterms:created xsi:type="dcterms:W3CDTF">2017-09-01T20:53:31Z</dcterms:created>
  <dcterms:modified xsi:type="dcterms:W3CDTF">2024-03-06T06:54:46Z</dcterms:modified>
  <cp:category/>
  <cp:contentStatus/>
</cp:coreProperties>
</file>